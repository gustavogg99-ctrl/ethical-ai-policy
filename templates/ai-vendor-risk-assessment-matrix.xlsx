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iering" sheetId="2" state="visible" r:id="rId4"/>
    <sheet name="Assessment" sheetId="3" state="visible" r:id="rId5"/>
    <sheet name="Resul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<sst xmlns="http://schemas.openxmlformats.org/spreadsheetml/2006/main" count="260" uniqueCount="199">
  <si>
    <t xml:space="preserve">AI Vendor Risk Assessment Matrix</t>
  </si>
  <si>
    <t xml:space="preserve">Supporting tool for the AI Vendor Risk Assessment Procedure v1.0 · Gustavo Rodrigues · CC BY 4.0</t>
  </si>
  <si>
    <t xml:space="preserve">Purpose</t>
  </si>
  <si>
    <t xml:space="preserve">Assess and compare AI vendors (model APIs, AI-enabled SaaS, hosted open-source models) for one use case, using the same vendor-agnostic criteria.</t>
  </si>
  <si>
    <t xml:space="preserve">Step 1 · Tiering</t>
  </si>
  <si>
    <t xml:space="preserve">Describe the use case and answer 7 Yes/No questions. The inherent tier (Low / Medium / High) describes the use case, not the vendor.</t>
  </si>
  <si>
    <t xml:space="preserve">Step 2 · Assessment</t>
  </si>
  <si>
    <t xml:space="preserve">Enter up to 3 vendor names. Score each of the 30 questions from 0 to 3, or N/A, for each vendor. Record evidence in the Notes column.</t>
  </si>
  <si>
    <t xml:space="preserve">Step 3 · Knock-outs</t>
  </si>
  <si>
    <t xml:space="preserve">At the bottom of the Assessment sheet, mark each knock-out criterion as Pass, Fail or N/A. Any Fail rejects the vendor.</t>
  </si>
  <si>
    <t xml:space="preserve">Step 4 · Results</t>
  </si>
  <si>
    <t xml:space="preserve">The Results sheet calculates domain scores, overall score, residual risk and the decision for each vendor. Do not edit it.</t>
  </si>
  <si>
    <t xml:space="preserve">Scoring scale</t>
  </si>
  <si>
    <t xml:space="preserve">0 = not met or no information · 1 = claimed, no documentation · 2 = met and documented · 3 = met with independent evidence (certification, audit report, signed clause) · N/A = not applicable (record why).</t>
  </si>
  <si>
    <t xml:space="preserve">Residual risk</t>
  </si>
  <si>
    <t xml:space="preserve">Overall score ≥ 75% = Low · 50% to 74% = Medium · below 50% = High.</t>
  </si>
  <si>
    <t xml:space="preserve">Decision rules</t>
  </si>
  <si>
    <t xml:space="preserve">Any knock-out Fail → Reject · Residual High → Reject · Residual Medium → Approve with conditions · Residual Low → Approve (Approve (committee) if the tier is High).</t>
  </si>
  <si>
    <t xml:space="preserve">Input cells</t>
  </si>
  <si>
    <t xml:space="preserve">Yellow cells with blue text are the only cells to edit. All other cells are labels or formulas.</t>
  </si>
  <si>
    <t xml:space="preserve">Example data</t>
  </si>
  <si>
    <t xml:space="preserve">The workbook is pre-filled with a FICTIONAL example (use case and Vendors A, B, C) so the calculations are visible. Vendors A, B and C do not represent any real company. Clear the yellow cells to start a new assessment.</t>
  </si>
  <si>
    <t xml:space="preserve">Procedure</t>
  </si>
  <si>
    <t xml:space="preserve">Full method, roles, contract clauses and reassessment rules: procedures/ai-vendor-risk-assessment.md in the ethical-ai-policy repository (github.com/gustavogg99-ctrl/ethical-ai-policy).</t>
  </si>
  <si>
    <t xml:space="preserve">Input cell legend</t>
  </si>
  <si>
    <t xml:space="preserve">Example input</t>
  </si>
  <si>
    <t xml:space="preserve">Step 1 · Inherent Risk Tiering (use case)</t>
  </si>
  <si>
    <t xml:space="preserve">Answer Yes or No for the intended use case. The tier applies to every vendor assessed for this use case.</t>
  </si>
  <si>
    <t xml:space="preserve">Use case</t>
  </si>
  <si>
    <t xml:space="preserve">FICTIONAL EXAMPLE: generative AI assistant that drafts replies to customer service tickets using customer names and order history. Human agents review every reply before it is sent.</t>
  </si>
  <si>
    <t xml:space="preserve">ID</t>
  </si>
  <si>
    <t xml:space="preserve">Question</t>
  </si>
  <si>
    <t xml:space="preserve">Points if Yes</t>
  </si>
  <si>
    <t xml:space="preserve">Answer</t>
  </si>
  <si>
    <t xml:space="preserve">Points</t>
  </si>
  <si>
    <t xml:space="preserve">T-1</t>
  </si>
  <si>
    <t xml:space="preserve">Will the tool process personal data?</t>
  </si>
  <si>
    <t xml:space="preserve">Yes</t>
  </si>
  <si>
    <t xml:space="preserve">T-2</t>
  </si>
  <si>
    <t xml:space="preserve">Will it process sensitive personal data (LGPD Art. 5, II) or confidential or regulated business data?</t>
  </si>
  <si>
    <t xml:space="preserve">No</t>
  </si>
  <si>
    <t xml:space="preserve">T-3</t>
  </si>
  <si>
    <t xml:space="preserve">Will its outputs be used in decisions that affect individuals (credit, hiring, access to services, benefits)?</t>
  </si>
  <si>
    <t xml:space="preserve">T-4</t>
  </si>
  <si>
    <t xml:space="preserve">Will it act autonomously in other systems (agents with write access, automated actions)?</t>
  </si>
  <si>
    <t xml:space="preserve">T-5</t>
  </si>
  <si>
    <t xml:space="preserve">Will customers, citizens or other external parties interact directly with it?</t>
  </si>
  <si>
    <t xml:space="preserve">T-6</t>
  </si>
  <si>
    <t xml:space="preserve">Would its unavailability stop a business-critical process?</t>
  </si>
  <si>
    <t xml:space="preserve">T-7</t>
  </si>
  <si>
    <t xml:space="preserve">Will it be used at scale (more than 1,000 users or people affected)?</t>
  </si>
  <si>
    <t xml:space="preserve">Total points</t>
  </si>
  <si>
    <t xml:space="preserve">Unanswered questions</t>
  </si>
  <si>
    <t xml:space="preserve">Inherent tier</t>
  </si>
  <si>
    <t xml:space="preserve">Rules: High = 7 points or more, or T-3 = Yes · Medium = 3 to 6 points · Low = 0 to 2 points.</t>
  </si>
  <si>
    <t xml:space="preserve">Steps 2–3 · Vendor Assessment and Knock-out Criteria</t>
  </si>
  <si>
    <t xml:space="preserve">Score 0–3 or N/A per vendor. 0 = not met · 1 = claimed only · 2 = documented · 3 = independent evidence.</t>
  </si>
  <si>
    <t xml:space="preserve">Vendor names →</t>
  </si>
  <si>
    <t xml:space="preserve">Vendor A (fictional)</t>
  </si>
  <si>
    <t xml:space="preserve">Vendor B (fictional)</t>
  </si>
  <si>
    <t xml:space="preserve">Vendor C (fictional)</t>
  </si>
  <si>
    <t xml:space="preserve">Domain</t>
  </si>
  <si>
    <t xml:space="preserve">Evidence expected</t>
  </si>
  <si>
    <t xml:space="preserve">Weight</t>
  </si>
  <si>
    <t xml:space="preserve">Notes / evidence reference</t>
  </si>
  <si>
    <t xml:space="preserve">IS-01</t>
  </si>
  <si>
    <t xml:space="preserve">Information Security</t>
  </si>
  <si>
    <t xml:space="preserve">Independent security certification or attestation (ISO/IEC 27001, SOC 2 Type II)?</t>
  </si>
  <si>
    <t xml:space="preserve">Certificate or audit report and its scope</t>
  </si>
  <si>
    <t xml:space="preserve">IS-02</t>
  </si>
  <si>
    <t xml:space="preserve">Customer data encrypted in transit and at rest?</t>
  </si>
  <si>
    <t xml:space="preserve">Security documentation or trust center</t>
  </si>
  <si>
    <t xml:space="preserve">IS-03</t>
  </si>
  <si>
    <t xml:space="preserve">SSO, MFA and role-based access control supported?</t>
  </si>
  <si>
    <t xml:space="preserve">Product documentation</t>
  </si>
  <si>
    <t xml:space="preserve">IS-04</t>
  </si>
  <si>
    <t xml:space="preserve">Vulnerability management and regular penetration tests?</t>
  </si>
  <si>
    <t xml:space="preserve">Pentest summary or attestation</t>
  </si>
  <si>
    <t xml:space="preserve">IS-05</t>
  </si>
  <si>
    <t xml:space="preserve">Commitment to notify security incidents within a defined timeframe?</t>
  </si>
  <si>
    <t xml:space="preserve">Contract or security annex</t>
  </si>
  <si>
    <t xml:space="preserve">DP-01</t>
  </si>
  <si>
    <t xml:space="preserve">Data Protection &amp; Privacy</t>
  </si>
  <si>
    <t xml:space="preserve">Data processing agreement covering LGPD obligations?</t>
  </si>
  <si>
    <t xml:space="preserve">Signed or standard DPA</t>
  </si>
  <si>
    <t xml:space="preserve">DP-02</t>
  </si>
  <si>
    <t xml:space="preserve">Data locations disclosed, with a legal mechanism for international transfers?</t>
  </si>
  <si>
    <t xml:space="preserve">DPA, data residency documentation</t>
  </si>
  <si>
    <t xml:space="preserve">DP-03</t>
  </si>
  <si>
    <t xml:space="preserve">Prompts, files and outputs excluded from model training by default or by contract?</t>
  </si>
  <si>
    <t xml:space="preserve">Contract clause or account setting documentation</t>
  </si>
  <si>
    <t xml:space="preserve">Vendor C: terms allow use of customer data for model improvement, no opt-out offered (see KO-2).</t>
  </si>
  <si>
    <t xml:space="preserve">DP-04</t>
  </si>
  <si>
    <t xml:space="preserve">Configurable retention and verifiable deletion?</t>
  </si>
  <si>
    <t xml:space="preserve">Retention policy, deletion procedure</t>
  </si>
  <si>
    <t xml:space="preserve">DP-05</t>
  </si>
  <si>
    <t xml:space="preserve">Subprocessor list available, with notice of changes?</t>
  </si>
  <si>
    <t xml:space="preserve">Subprocessor list</t>
  </si>
  <si>
    <t xml:space="preserve">MG-01</t>
  </si>
  <si>
    <t xml:space="preserve">AI Model Governance</t>
  </si>
  <si>
    <t xml:space="preserve">Model or system documentation (intended use, limitations, known risks)?</t>
  </si>
  <si>
    <t xml:space="preserve">Model or system card</t>
  </si>
  <si>
    <t xml:space="preserve">MG-02</t>
  </si>
  <si>
    <t xml:space="preserve">Advance notice of model changes, versioning and deprecation?</t>
  </si>
  <si>
    <t xml:space="preserve">Change policy, release notes</t>
  </si>
  <si>
    <t xml:space="preserve">MG-03</t>
  </si>
  <si>
    <t xml:space="preserve">Evaluation results for accuracy and performance on relevant tasks?</t>
  </si>
  <si>
    <t xml:space="preserve">Evaluation reports, benchmarks</t>
  </si>
  <si>
    <t xml:space="preserve">MG-04</t>
  </si>
  <si>
    <t xml:space="preserve">Underlying foundation model provider disclosed?</t>
  </si>
  <si>
    <t xml:space="preserve">Documentation or written confirmation</t>
  </si>
  <si>
    <t xml:space="preserve">Vendor C declined to name its foundation model provider.</t>
  </si>
  <si>
    <t xml:space="preserve">RA-01</t>
  </si>
  <si>
    <t xml:space="preserve">Responsible AI &amp; Safety</t>
  </si>
  <si>
    <t xml:space="preserve">Responsible AI policy or principles published?</t>
  </si>
  <si>
    <t xml:space="preserve">Public policy</t>
  </si>
  <si>
    <t xml:space="preserve">RA-02</t>
  </si>
  <si>
    <t xml:space="preserve">Bias and fairness tests documented?</t>
  </si>
  <si>
    <t xml:space="preserve">Test reports, model card sections</t>
  </si>
  <si>
    <t xml:space="preserve">RA-03</t>
  </si>
  <si>
    <t xml:space="preserve">Safeguards against harmful content and misuse?</t>
  </si>
  <si>
    <t xml:space="preserve">Safety documentation, content filters</t>
  </si>
  <si>
    <t xml:space="preserve">RA-04</t>
  </si>
  <si>
    <t xml:space="preserve">Human oversight supported (review, override, approval steps)?</t>
  </si>
  <si>
    <t xml:space="preserve">TA-01</t>
  </si>
  <si>
    <t xml:space="preserve">Transparency &amp; Auditability</t>
  </si>
  <si>
    <t xml:space="preserve">Usage and audit logs available to the customer?</t>
  </si>
  <si>
    <t xml:space="preserve">Admin console, log export or API</t>
  </si>
  <si>
    <t xml:space="preserve">TA-02</t>
  </si>
  <si>
    <t xml:space="preserve">Disclosure of AI-generated content to end users supported?</t>
  </si>
  <si>
    <t xml:space="preserve">TA-03</t>
  </si>
  <si>
    <t xml:space="preserve">Outputs used in decisions can be explained or justified?</t>
  </si>
  <si>
    <t xml:space="preserve">Explainability features, citations</t>
  </si>
  <si>
    <t xml:space="preserve">N/A</t>
  </si>
  <si>
    <t xml:space="preserve">N/A for all vendors: outputs are drafts reviewed by agents; no decisions about individuals (Tiering T-3 = No).</t>
  </si>
  <si>
    <t xml:space="preserve">OR-01</t>
  </si>
  <si>
    <t xml:space="preserve">Operational Resilience</t>
  </si>
  <si>
    <t xml:space="preserve">Contractual availability SLA?</t>
  </si>
  <si>
    <t xml:space="preserve">SLA document</t>
  </si>
  <si>
    <t xml:space="preserve">OR-02</t>
  </si>
  <si>
    <t xml:space="preserve">Business continuity and disaster recovery in place and tested?</t>
  </si>
  <si>
    <t xml:space="preserve">BCP/DR summary or attestation</t>
  </si>
  <si>
    <t xml:space="preserve">OR-03</t>
  </si>
  <si>
    <t xml:space="preserve">Data export in a standard format, with an exit plan?</t>
  </si>
  <si>
    <t xml:space="preserve">Export features, termination clauses</t>
  </si>
  <si>
    <t xml:space="preserve">LC-01</t>
  </si>
  <si>
    <t xml:space="preserve">Legal &amp; Contractual</t>
  </si>
  <si>
    <t xml:space="preserve">Customer ownership of inputs and outputs defined in contract?</t>
  </si>
  <si>
    <t xml:space="preserve">Terms of service</t>
  </si>
  <si>
    <t xml:space="preserve">LC-02</t>
  </si>
  <si>
    <t xml:space="preserve">IP infringement indemnity for outputs?</t>
  </si>
  <si>
    <t xml:space="preserve">Contract clause</t>
  </si>
  <si>
    <t xml:space="preserve">LC-03</t>
  </si>
  <si>
    <t xml:space="preserve">Audit rights or access to audit reports?</t>
  </si>
  <si>
    <t xml:space="preserve">LC-04</t>
  </si>
  <si>
    <t xml:space="preserve">Commitment to applicable regulation (LGPD; EU AI Act where relevant)?</t>
  </si>
  <si>
    <t xml:space="preserve">Contract, compliance statements</t>
  </si>
  <si>
    <t xml:space="preserve">VV-01</t>
  </si>
  <si>
    <t xml:space="preserve">Vendor Viability</t>
  </si>
  <si>
    <t xml:space="preserve">Sound track record and financial stability?</t>
  </si>
  <si>
    <t xml:space="preserve">Company information, references</t>
  </si>
  <si>
    <t xml:space="preserve">VV-02</t>
  </si>
  <si>
    <t xml:space="preserve">Concentration risk and alternatives understood?</t>
  </si>
  <si>
    <t xml:space="preserve">Internal market analysis</t>
  </si>
  <si>
    <t xml:space="preserve">Knock-out criteria · any Fail rejects the vendor regardless of score</t>
  </si>
  <si>
    <t xml:space="preserve">Applies to</t>
  </si>
  <si>
    <t xml:space="preserve">Criterion</t>
  </si>
  <si>
    <t xml:space="preserve">Notes</t>
  </si>
  <si>
    <t xml:space="preserve">KO-1</t>
  </si>
  <si>
    <t xml:space="preserve">All tiers, if T-1 = Yes</t>
  </si>
  <si>
    <t xml:space="preserve">Vendor does not accept a data processing agreement with LGPD obligations</t>
  </si>
  <si>
    <t xml:space="preserve">Pass</t>
  </si>
  <si>
    <t xml:space="preserve">KO-2</t>
  </si>
  <si>
    <t xml:space="preserve">All tiers</t>
  </si>
  <si>
    <t xml:space="preserve">Vendor uses customer data to train or improve models with no opt-out or contractual exclusion</t>
  </si>
  <si>
    <t xml:space="preserve">Fail</t>
  </si>
  <si>
    <t xml:space="preserve">Vendor C fails: see DP-03.</t>
  </si>
  <si>
    <t xml:space="preserve">KO-3</t>
  </si>
  <si>
    <t xml:space="preserve">Vendor does not commit to notify security incidents affecting customer data</t>
  </si>
  <si>
    <t xml:space="preserve">KO-4</t>
  </si>
  <si>
    <t xml:space="preserve">Personal data transferred outside Brazil without an LGPD Art. 33 mechanism</t>
  </si>
  <si>
    <t xml:space="preserve">KO-5</t>
  </si>
  <si>
    <t xml:space="preserve">High tier only</t>
  </si>
  <si>
    <t xml:space="preserve">Vendor refuses to disclose its foundation model provider and subprocessors</t>
  </si>
  <si>
    <t xml:space="preserve">N/A: example use case is Medium tier.</t>
  </si>
  <si>
    <t xml:space="preserve">Step 4 · Results and Decision</t>
  </si>
  <si>
    <t xml:space="preserve">Calculated automatically from the Tiering and Assessment sheets. Do not edit.</t>
  </si>
  <si>
    <t xml:space="preserve">Use case:</t>
  </si>
  <si>
    <t xml:space="preserve">Calculation (do not edit)</t>
  </si>
  <si>
    <t xml:space="preserve">Total weight</t>
  </si>
  <si>
    <t xml:space="preserve">Unscored questions</t>
  </si>
  <si>
    <t xml:space="preserve">Overall score</t>
  </si>
  <si>
    <t xml:space="preserve">Knock-outs failed</t>
  </si>
  <si>
    <t xml:space="preserve">Knock-outs unanswered</t>
  </si>
  <si>
    <t xml:space="preserve">Inherent tier (use case)</t>
  </si>
  <si>
    <t xml:space="preserve">DECISION</t>
  </si>
  <si>
    <t xml:space="preserve">Decision authority</t>
  </si>
  <si>
    <t xml:space="preserve">Reassess within (months)</t>
  </si>
  <si>
    <t xml:space="preserve">Decision rules: any knock-out Fail → Reject · Residual High → Reject · Residual Medium → Approve with conditions (committee sign-off, reassess in 6 months) · Residual Low → Approve, or Approve (committee) when the tier is High.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</si>
</sst>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4" t="s">
        <v>3</v>
      </c>
    </row>
    <row r="5" customFormat="false" ht="42" hidden="false" customHeight="true" outlineLevel="0" collapsed="false">
      <c r="A5" s="3" t="s">
        <v>4</v>
      </c>
      <c r="B5" s="4" t="s">
        <v>5</v>
      </c>
    </row>
    <row r="6" customFormat="false" ht="42" hidden="false" customHeight="true" outlineLevel="0" collapsed="false">
      <c r="A6" s="3" t="s">
        <v>6</v>
      </c>
      <c r="B6" s="4" t="s">
        <v>7</v>
      </c>
    </row>
    <row r="7" customFormat="false" ht="42" hidden="false" customHeight="true" outlineLevel="0" collapsed="false">
      <c r="A7" s="3" t="s">
        <v>8</v>
      </c>
      <c r="B7" s="4" t="s">
        <v>9</v>
      </c>
    </row>
    <row r="8" customFormat="false" ht="42" hidden="false" customHeight="true" outlineLevel="0" collapsed="false">
      <c r="A8" s="3" t="s">
        <v>10</v>
      </c>
      <c r="B8" s="4" t="s">
        <v>11</v>
      </c>
    </row>
    <row r="9" customFormat="false" ht="42" hidden="false" customHeight="true" outlineLevel="0" collapsed="false">
      <c r="A9" s="3" t="s">
        <v>12</v>
      </c>
      <c r="B9" s="4" t="s">
        <v>13</v>
      </c>
    </row>
    <row r="10" customFormat="false" ht="42" hidden="false" customHeight="true" outlineLevel="0" collapsed="false">
      <c r="A10" s="3" t="s">
        <v>14</v>
      </c>
      <c r="B10" s="4" t="s">
        <v>15</v>
      </c>
    </row>
    <row r="11" customFormat="false" ht="42" hidden="false" customHeight="true" outlineLevel="0" collapsed="false">
      <c r="A11" s="3" t="s">
        <v>16</v>
      </c>
      <c r="B11" s="4" t="s">
        <v>17</v>
      </c>
    </row>
    <row r="12" customFormat="false" ht="42" hidden="false" customHeight="true" outlineLevel="0" collapsed="false">
      <c r="A12" s="3" t="s">
        <v>18</v>
      </c>
      <c r="B12" s="4" t="s">
        <v>19</v>
      </c>
    </row>
    <row r="13" customFormat="false" ht="42" hidden="false" customHeight="true" outlineLevel="0" collapsed="false">
      <c r="A13" s="3" t="s">
        <v>20</v>
      </c>
      <c r="B13" s="4" t="s">
        <v>21</v>
      </c>
    </row>
    <row r="14" customFormat="false" ht="42" hidden="false" customHeight="true" outlineLevel="0" collapsed="false">
      <c r="A14" s="3" t="s">
        <v>22</v>
      </c>
      <c r="B14" s="4" t="s">
        <v>23</v>
      </c>
    </row>
    <row r="16" customFormat="false" ht="15" hidden="false" customHeight="false" outlineLevel="0" collapsed="false">
      <c r="A16" s="5" t="s">
        <v>24</v>
      </c>
      <c r="B16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  <col collapsed="false" customWidth="true" hidden="false" outlineLevel="0" max="3" min="3" style="0" width="13"/>
    <col collapsed="false" customWidth="true" hidden="false" outlineLevel="0" max="5" min="4" style="0" width="12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45" hidden="false" customHeight="true" outlineLevel="0" collapsed="false">
      <c r="A4" s="5" t="s">
        <v>28</v>
      </c>
      <c r="B4" s="7" t="s">
        <v>29</v>
      </c>
      <c r="C4" s="7"/>
      <c r="D4" s="7"/>
      <c r="E4" s="7"/>
    </row>
    <row r="6" customFormat="false" ht="15" hidden="false" customHeight="false" outlineLevel="0" collapsed="false">
      <c r="A6" s="8" t="s">
        <v>30</v>
      </c>
      <c r="B6" s="8" t="s">
        <v>31</v>
      </c>
      <c r="C6" s="8" t="s">
        <v>32</v>
      </c>
      <c r="D6" s="8" t="s">
        <v>33</v>
      </c>
      <c r="E6" s="8" t="s">
        <v>34</v>
      </c>
    </row>
    <row r="7" customFormat="false" ht="30" hidden="false" customHeight="true" outlineLevel="0" collapsed="false">
      <c r="A7" s="9" t="s">
        <v>35</v>
      </c>
      <c r="B7" s="10" t="s">
        <v>36</v>
      </c>
      <c r="C7" s="11" t="n">
        <v>2</v>
      </c>
      <c r="D7" s="6" t="s">
        <v>37</v>
      </c>
      <c r="E7" s="11" t="n">
        <f aca="false">IF(D7="Yes",C7,0)</f>
        <v>2</v>
      </c>
    </row>
    <row r="8" customFormat="false" ht="30" hidden="false" customHeight="true" outlineLevel="0" collapsed="false">
      <c r="A8" s="9" t="s">
        <v>38</v>
      </c>
      <c r="B8" s="10" t="s">
        <v>39</v>
      </c>
      <c r="C8" s="11" t="n">
        <v>3</v>
      </c>
      <c r="D8" s="6" t="s">
        <v>40</v>
      </c>
      <c r="E8" s="11" t="n">
        <f aca="false">IF(D8="Yes",C8,0)</f>
        <v>0</v>
      </c>
    </row>
    <row r="9" customFormat="false" ht="30" hidden="false" customHeight="true" outlineLevel="0" collapsed="false">
      <c r="A9" s="9" t="s">
        <v>41</v>
      </c>
      <c r="B9" s="10" t="s">
        <v>42</v>
      </c>
      <c r="C9" s="11" t="n">
        <v>3</v>
      </c>
      <c r="D9" s="6" t="s">
        <v>40</v>
      </c>
      <c r="E9" s="11" t="n">
        <f aca="false">IF(D9="Yes",C9,0)</f>
        <v>0</v>
      </c>
    </row>
    <row r="10" customFormat="false" ht="30" hidden="false" customHeight="true" outlineLevel="0" collapsed="false">
      <c r="A10" s="9" t="s">
        <v>43</v>
      </c>
      <c r="B10" s="10" t="s">
        <v>44</v>
      </c>
      <c r="C10" s="11" t="n">
        <v>2</v>
      </c>
      <c r="D10" s="6" t="s">
        <v>40</v>
      </c>
      <c r="E10" s="11" t="n">
        <f aca="false">IF(D10="Yes",C10,0)</f>
        <v>0</v>
      </c>
    </row>
    <row r="11" customFormat="false" ht="30" hidden="false" customHeight="true" outlineLevel="0" collapsed="false">
      <c r="A11" s="9" t="s">
        <v>45</v>
      </c>
      <c r="B11" s="10" t="s">
        <v>46</v>
      </c>
      <c r="C11" s="11" t="n">
        <v>1</v>
      </c>
      <c r="D11" s="6" t="s">
        <v>40</v>
      </c>
      <c r="E11" s="11" t="n">
        <f aca="false">IF(D11="Yes",C11,0)</f>
        <v>0</v>
      </c>
    </row>
    <row r="12" customFormat="false" ht="30" hidden="false" customHeight="true" outlineLevel="0" collapsed="false">
      <c r="A12" s="9" t="s">
        <v>47</v>
      </c>
      <c r="B12" s="10" t="s">
        <v>48</v>
      </c>
      <c r="C12" s="11" t="n">
        <v>1</v>
      </c>
      <c r="D12" s="6" t="s">
        <v>37</v>
      </c>
      <c r="E12" s="11" t="n">
        <f aca="false">IF(D12="Yes",C12,0)</f>
        <v>1</v>
      </c>
    </row>
    <row r="13" customFormat="false" ht="30" hidden="false" customHeight="true" outlineLevel="0" collapsed="false">
      <c r="A13" s="9" t="s">
        <v>49</v>
      </c>
      <c r="B13" s="10" t="s">
        <v>50</v>
      </c>
      <c r="C13" s="11" t="n">
        <v>1</v>
      </c>
      <c r="D13" s="6" t="s">
        <v>37</v>
      </c>
      <c r="E13" s="11" t="n">
        <f aca="false">IF(D13="Yes",C13,0)</f>
        <v>1</v>
      </c>
    </row>
    <row r="15" customFormat="false" ht="15" hidden="false" customHeight="false" outlineLevel="0" collapsed="false">
      <c r="A15" s="5" t="s">
        <v>51</v>
      </c>
      <c r="E15" s="5" t="n">
        <f aca="false">SUM(E7:E13)</f>
        <v>4</v>
      </c>
    </row>
    <row r="16" customFormat="false" ht="15" hidden="false" customHeight="false" outlineLevel="0" collapsed="false">
      <c r="A16" s="5" t="s">
        <v>52</v>
      </c>
      <c r="E16" s="12" t="n">
        <f aca="false">COUNTBLANK(D7:D13)</f>
        <v>0</v>
      </c>
    </row>
    <row r="17" customFormat="false" ht="15" hidden="false" customHeight="false" outlineLevel="0" collapsed="false">
      <c r="A17" s="13" t="s">
        <v>53</v>
      </c>
      <c r="E17" s="13" t="str">
        <f aca="false">IF(E16&gt;0,"Incomplete",IF(OR(E15&gt;=7,D9="Yes"),"High",IF(E15&gt;=3,"Medium","Low")))</f>
        <v>Medium</v>
      </c>
    </row>
    <row r="19" customFormat="false" ht="15" hidden="false" customHeight="false" outlineLevel="0" collapsed="false">
      <c r="A19" s="2" t="s">
        <v>54</v>
      </c>
    </row>
  </sheetData>
  <mergeCells count="1">
    <mergeCell ref="B4:E4"/>
  </mergeCells>
  <dataValidations count="1">
    <dataValidation allowBlank="true" errorStyle="stop" operator="between" showDropDown="false" showErrorMessage="false" showInputMessage="false" sqref="D7:D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32"/>
    <col collapsed="false" customWidth="true" hidden="false" outlineLevel="0" max="5" min="5" style="0" width="8"/>
    <col collapsed="false" customWidth="true" hidden="false" outlineLevel="0" max="8" min="6" style="0" width="21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E3" s="14" t="s">
        <v>57</v>
      </c>
      <c r="F3" s="15" t="s">
        <v>58</v>
      </c>
      <c r="G3" s="15" t="s">
        <v>59</v>
      </c>
      <c r="H3" s="15" t="s">
        <v>60</v>
      </c>
    </row>
    <row r="5" customFormat="false" ht="15" hidden="false" customHeight="false" outlineLevel="0" collapsed="false">
      <c r="A5" s="8" t="s">
        <v>30</v>
      </c>
      <c r="B5" s="8" t="s">
        <v>61</v>
      </c>
      <c r="C5" s="8" t="s">
        <v>31</v>
      </c>
      <c r="D5" s="8" t="s">
        <v>62</v>
      </c>
      <c r="E5" s="8" t="s">
        <v>63</v>
      </c>
      <c r="F5" s="8" t="str">
        <f aca="false">F3</f>
        <v>Vendor A (fictional)</v>
      </c>
      <c r="G5" s="8" t="str">
        <f aca="false">G3</f>
        <v>Vendor B (fictional)</v>
      </c>
      <c r="H5" s="8" t="str">
        <f aca="false">H3</f>
        <v>Vendor C (fictional)</v>
      </c>
      <c r="I5" s="8" t="s">
        <v>64</v>
      </c>
    </row>
    <row r="6" customFormat="false" ht="30" hidden="false" customHeight="true" outlineLevel="0" collapsed="false">
      <c r="A6" s="9" t="s">
        <v>65</v>
      </c>
      <c r="B6" s="11" t="s">
        <v>66</v>
      </c>
      <c r="C6" s="10" t="s">
        <v>67</v>
      </c>
      <c r="D6" s="16" t="s">
        <v>68</v>
      </c>
      <c r="E6" s="17" t="n">
        <f aca="false">INDEX(Results!$B$6:$B$13,MATCH(B6,Results!$A$6:$A$13,0))</f>
        <v>0.2</v>
      </c>
      <c r="F6" s="6" t="n">
        <v>3</v>
      </c>
      <c r="G6" s="6" t="n">
        <v>2</v>
      </c>
      <c r="H6" s="6" t="n">
        <v>3</v>
      </c>
      <c r="I6" s="18"/>
    </row>
    <row r="7" customFormat="false" ht="30" hidden="false" customHeight="true" outlineLevel="0" collapsed="false">
      <c r="A7" s="9" t="s">
        <v>69</v>
      </c>
      <c r="B7" s="11" t="s">
        <v>66</v>
      </c>
      <c r="C7" s="10" t="s">
        <v>70</v>
      </c>
      <c r="D7" s="16" t="s">
        <v>71</v>
      </c>
      <c r="E7" s="17" t="n">
        <f aca="false">INDEX(Results!$B$6:$B$13,MATCH(B7,Results!$A$6:$A$13,0))</f>
        <v>0.2</v>
      </c>
      <c r="F7" s="6" t="n">
        <v>3</v>
      </c>
      <c r="G7" s="6" t="n">
        <v>2</v>
      </c>
      <c r="H7" s="6" t="n">
        <v>2</v>
      </c>
      <c r="I7" s="18"/>
    </row>
    <row r="8" customFormat="false" ht="30" hidden="false" customHeight="true" outlineLevel="0" collapsed="false">
      <c r="A8" s="9" t="s">
        <v>72</v>
      </c>
      <c r="B8" s="11" t="s">
        <v>66</v>
      </c>
      <c r="C8" s="10" t="s">
        <v>73</v>
      </c>
      <c r="D8" s="16" t="s">
        <v>74</v>
      </c>
      <c r="E8" s="17" t="n">
        <f aca="false">INDEX(Results!$B$6:$B$13,MATCH(B8,Results!$A$6:$A$13,0))</f>
        <v>0.2</v>
      </c>
      <c r="F8" s="6" t="n">
        <v>3</v>
      </c>
      <c r="G8" s="6" t="n">
        <v>2</v>
      </c>
      <c r="H8" s="6" t="n">
        <v>3</v>
      </c>
      <c r="I8" s="18"/>
    </row>
    <row r="9" customFormat="false" ht="30" hidden="false" customHeight="true" outlineLevel="0" collapsed="false">
      <c r="A9" s="9" t="s">
        <v>75</v>
      </c>
      <c r="B9" s="11" t="s">
        <v>66</v>
      </c>
      <c r="C9" s="10" t="s">
        <v>76</v>
      </c>
      <c r="D9" s="16" t="s">
        <v>77</v>
      </c>
      <c r="E9" s="17" t="n">
        <f aca="false">INDEX(Results!$B$6:$B$13,MATCH(B9,Results!$A$6:$A$13,0))</f>
        <v>0.2</v>
      </c>
      <c r="F9" s="6" t="n">
        <v>2</v>
      </c>
      <c r="G9" s="6" t="n">
        <v>1</v>
      </c>
      <c r="H9" s="6" t="n">
        <v>2</v>
      </c>
      <c r="I9" s="18"/>
    </row>
    <row r="10" customFormat="false" ht="30" hidden="false" customHeight="true" outlineLevel="0" collapsed="false">
      <c r="A10" s="9" t="s">
        <v>78</v>
      </c>
      <c r="B10" s="11" t="s">
        <v>66</v>
      </c>
      <c r="C10" s="10" t="s">
        <v>79</v>
      </c>
      <c r="D10" s="16" t="s">
        <v>80</v>
      </c>
      <c r="E10" s="17" t="n">
        <f aca="false">INDEX(Results!$B$6:$B$13,MATCH(B10,Results!$A$6:$A$13,0))</f>
        <v>0.2</v>
      </c>
      <c r="F10" s="6" t="n">
        <v>3</v>
      </c>
      <c r="G10" s="6" t="n">
        <v>2</v>
      </c>
      <c r="H10" s="6" t="n">
        <v>2</v>
      </c>
      <c r="I10" s="18"/>
    </row>
    <row r="11" customFormat="false" ht="30" hidden="false" customHeight="true" outlineLevel="0" collapsed="false">
      <c r="A11" s="9" t="s">
        <v>81</v>
      </c>
      <c r="B11" s="11" t="s">
        <v>82</v>
      </c>
      <c r="C11" s="10" t="s">
        <v>83</v>
      </c>
      <c r="D11" s="16" t="s">
        <v>84</v>
      </c>
      <c r="E11" s="17" t="n">
        <f aca="false">INDEX(Results!$B$6:$B$13,MATCH(B11,Results!$A$6:$A$13,0))</f>
        <v>0.2</v>
      </c>
      <c r="F11" s="6" t="n">
        <v>3</v>
      </c>
      <c r="G11" s="6" t="n">
        <v>2</v>
      </c>
      <c r="H11" s="6" t="n">
        <v>2</v>
      </c>
      <c r="I11" s="18"/>
    </row>
    <row r="12" customFormat="false" ht="30" hidden="false" customHeight="true" outlineLevel="0" collapsed="false">
      <c r="A12" s="9" t="s">
        <v>85</v>
      </c>
      <c r="B12" s="11" t="s">
        <v>82</v>
      </c>
      <c r="C12" s="10" t="s">
        <v>86</v>
      </c>
      <c r="D12" s="16" t="s">
        <v>87</v>
      </c>
      <c r="E12" s="17" t="n">
        <f aca="false">INDEX(Results!$B$6:$B$13,MATCH(B12,Results!$A$6:$A$13,0))</f>
        <v>0.2</v>
      </c>
      <c r="F12" s="6" t="n">
        <v>2</v>
      </c>
      <c r="G12" s="6" t="n">
        <v>2</v>
      </c>
      <c r="H12" s="6" t="n">
        <v>2</v>
      </c>
      <c r="I12" s="18"/>
    </row>
    <row r="13" customFormat="false" ht="30" hidden="false" customHeight="true" outlineLevel="0" collapsed="false">
      <c r="A13" s="9" t="s">
        <v>88</v>
      </c>
      <c r="B13" s="11" t="s">
        <v>82</v>
      </c>
      <c r="C13" s="10" t="s">
        <v>89</v>
      </c>
      <c r="D13" s="16" t="s">
        <v>90</v>
      </c>
      <c r="E13" s="17" t="n">
        <f aca="false">INDEX(Results!$B$6:$B$13,MATCH(B13,Results!$A$6:$A$13,0))</f>
        <v>0.2</v>
      </c>
      <c r="F13" s="6" t="n">
        <v>3</v>
      </c>
      <c r="G13" s="6" t="n">
        <v>2</v>
      </c>
      <c r="H13" s="6" t="n">
        <v>0</v>
      </c>
      <c r="I13" s="18" t="s">
        <v>91</v>
      </c>
    </row>
    <row r="14" customFormat="false" ht="30" hidden="false" customHeight="true" outlineLevel="0" collapsed="false">
      <c r="A14" s="9" t="s">
        <v>92</v>
      </c>
      <c r="B14" s="11" t="s">
        <v>82</v>
      </c>
      <c r="C14" s="10" t="s">
        <v>93</v>
      </c>
      <c r="D14" s="16" t="s">
        <v>94</v>
      </c>
      <c r="E14" s="17" t="n">
        <f aca="false">INDEX(Results!$B$6:$B$13,MATCH(B14,Results!$A$6:$A$13,0))</f>
        <v>0.2</v>
      </c>
      <c r="F14" s="6" t="n">
        <v>2</v>
      </c>
      <c r="G14" s="6" t="n">
        <v>2</v>
      </c>
      <c r="H14" s="6" t="n">
        <v>2</v>
      </c>
      <c r="I14" s="18"/>
    </row>
    <row r="15" customFormat="false" ht="30" hidden="false" customHeight="true" outlineLevel="0" collapsed="false">
      <c r="A15" s="9" t="s">
        <v>95</v>
      </c>
      <c r="B15" s="11" t="s">
        <v>82</v>
      </c>
      <c r="C15" s="10" t="s">
        <v>96</v>
      </c>
      <c r="D15" s="16" t="s">
        <v>97</v>
      </c>
      <c r="E15" s="17" t="n">
        <f aca="false">INDEX(Results!$B$6:$B$13,MATCH(B15,Results!$A$6:$A$13,0))</f>
        <v>0.2</v>
      </c>
      <c r="F15" s="6" t="n">
        <v>2</v>
      </c>
      <c r="G15" s="6" t="n">
        <v>1</v>
      </c>
      <c r="H15" s="6" t="n">
        <v>2</v>
      </c>
      <c r="I15" s="18"/>
    </row>
    <row r="16" customFormat="false" ht="30" hidden="false" customHeight="true" outlineLevel="0" collapsed="false">
      <c r="A16" s="9" t="s">
        <v>98</v>
      </c>
      <c r="B16" s="11" t="s">
        <v>99</v>
      </c>
      <c r="C16" s="10" t="s">
        <v>100</v>
      </c>
      <c r="D16" s="16" t="s">
        <v>101</v>
      </c>
      <c r="E16" s="17" t="n">
        <f aca="false">INDEX(Results!$B$6:$B$13,MATCH(B16,Results!$A$6:$A$13,0))</f>
        <v>0.15</v>
      </c>
      <c r="F16" s="6" t="n">
        <v>2</v>
      </c>
      <c r="G16" s="6" t="n">
        <v>2</v>
      </c>
      <c r="H16" s="6" t="n">
        <v>2</v>
      </c>
      <c r="I16" s="18"/>
    </row>
    <row r="17" customFormat="false" ht="30" hidden="false" customHeight="true" outlineLevel="0" collapsed="false">
      <c r="A17" s="9" t="s">
        <v>102</v>
      </c>
      <c r="B17" s="11" t="s">
        <v>99</v>
      </c>
      <c r="C17" s="10" t="s">
        <v>103</v>
      </c>
      <c r="D17" s="16" t="s">
        <v>104</v>
      </c>
      <c r="E17" s="17" t="n">
        <f aca="false">INDEX(Results!$B$6:$B$13,MATCH(B17,Results!$A$6:$A$13,0))</f>
        <v>0.15</v>
      </c>
      <c r="F17" s="6" t="n">
        <v>2</v>
      </c>
      <c r="G17" s="6" t="n">
        <v>1</v>
      </c>
      <c r="H17" s="6" t="n">
        <v>2</v>
      </c>
      <c r="I17" s="18"/>
    </row>
    <row r="18" customFormat="false" ht="30" hidden="false" customHeight="true" outlineLevel="0" collapsed="false">
      <c r="A18" s="9" t="s">
        <v>105</v>
      </c>
      <c r="B18" s="11" t="s">
        <v>99</v>
      </c>
      <c r="C18" s="10" t="s">
        <v>106</v>
      </c>
      <c r="D18" s="16" t="s">
        <v>107</v>
      </c>
      <c r="E18" s="17" t="n">
        <f aca="false">INDEX(Results!$B$6:$B$13,MATCH(B18,Results!$A$6:$A$13,0))</f>
        <v>0.15</v>
      </c>
      <c r="F18" s="6" t="n">
        <v>3</v>
      </c>
      <c r="G18" s="6" t="n">
        <v>1</v>
      </c>
      <c r="H18" s="6" t="n">
        <v>1</v>
      </c>
      <c r="I18" s="18"/>
    </row>
    <row r="19" customFormat="false" ht="30" hidden="false" customHeight="true" outlineLevel="0" collapsed="false">
      <c r="A19" s="9" t="s">
        <v>108</v>
      </c>
      <c r="B19" s="11" t="s">
        <v>99</v>
      </c>
      <c r="C19" s="10" t="s">
        <v>109</v>
      </c>
      <c r="D19" s="16" t="s">
        <v>110</v>
      </c>
      <c r="E19" s="17" t="n">
        <f aca="false">INDEX(Results!$B$6:$B$13,MATCH(B19,Results!$A$6:$A$13,0))</f>
        <v>0.15</v>
      </c>
      <c r="F19" s="6" t="n">
        <v>2</v>
      </c>
      <c r="G19" s="6" t="n">
        <v>2</v>
      </c>
      <c r="H19" s="6" t="n">
        <v>0</v>
      </c>
      <c r="I19" s="18" t="s">
        <v>111</v>
      </c>
    </row>
    <row r="20" customFormat="false" ht="30" hidden="false" customHeight="true" outlineLevel="0" collapsed="false">
      <c r="A20" s="9" t="s">
        <v>112</v>
      </c>
      <c r="B20" s="11" t="s">
        <v>113</v>
      </c>
      <c r="C20" s="10" t="s">
        <v>114</v>
      </c>
      <c r="D20" s="16" t="s">
        <v>115</v>
      </c>
      <c r="E20" s="17" t="n">
        <f aca="false">INDEX(Results!$B$6:$B$13,MATCH(B20,Results!$A$6:$A$13,0))</f>
        <v>0.1</v>
      </c>
      <c r="F20" s="6" t="n">
        <v>2</v>
      </c>
      <c r="G20" s="6" t="n">
        <v>2</v>
      </c>
      <c r="H20" s="6" t="n">
        <v>2</v>
      </c>
      <c r="I20" s="18"/>
    </row>
    <row r="21" customFormat="false" ht="30" hidden="false" customHeight="true" outlineLevel="0" collapsed="false">
      <c r="A21" s="9" t="s">
        <v>116</v>
      </c>
      <c r="B21" s="11" t="s">
        <v>113</v>
      </c>
      <c r="C21" s="10" t="s">
        <v>117</v>
      </c>
      <c r="D21" s="16" t="s">
        <v>118</v>
      </c>
      <c r="E21" s="17" t="n">
        <f aca="false">INDEX(Results!$B$6:$B$13,MATCH(B21,Results!$A$6:$A$13,0))</f>
        <v>0.1</v>
      </c>
      <c r="F21" s="6" t="n">
        <v>2</v>
      </c>
      <c r="G21" s="6" t="n">
        <v>1</v>
      </c>
      <c r="H21" s="6" t="n">
        <v>1</v>
      </c>
      <c r="I21" s="18"/>
    </row>
    <row r="22" customFormat="false" ht="30" hidden="false" customHeight="true" outlineLevel="0" collapsed="false">
      <c r="A22" s="9" t="s">
        <v>119</v>
      </c>
      <c r="B22" s="11" t="s">
        <v>113</v>
      </c>
      <c r="C22" s="10" t="s">
        <v>120</v>
      </c>
      <c r="D22" s="16" t="s">
        <v>121</v>
      </c>
      <c r="E22" s="17" t="n">
        <f aca="false">INDEX(Results!$B$6:$B$13,MATCH(B22,Results!$A$6:$A$13,0))</f>
        <v>0.1</v>
      </c>
      <c r="F22" s="6" t="n">
        <v>2</v>
      </c>
      <c r="G22" s="6" t="n">
        <v>1</v>
      </c>
      <c r="H22" s="6" t="n">
        <v>2</v>
      </c>
      <c r="I22" s="18"/>
    </row>
    <row r="23" customFormat="false" ht="30" hidden="false" customHeight="true" outlineLevel="0" collapsed="false">
      <c r="A23" s="9" t="s">
        <v>122</v>
      </c>
      <c r="B23" s="11" t="s">
        <v>113</v>
      </c>
      <c r="C23" s="10" t="s">
        <v>123</v>
      </c>
      <c r="D23" s="16" t="s">
        <v>74</v>
      </c>
      <c r="E23" s="17" t="n">
        <f aca="false">INDEX(Results!$B$6:$B$13,MATCH(B23,Results!$A$6:$A$13,0))</f>
        <v>0.1</v>
      </c>
      <c r="F23" s="6" t="n">
        <v>2</v>
      </c>
      <c r="G23" s="6" t="n">
        <v>2</v>
      </c>
      <c r="H23" s="6" t="n">
        <v>2</v>
      </c>
      <c r="I23" s="18"/>
    </row>
    <row r="24" customFormat="false" ht="30" hidden="false" customHeight="true" outlineLevel="0" collapsed="false">
      <c r="A24" s="9" t="s">
        <v>124</v>
      </c>
      <c r="B24" s="11" t="s">
        <v>125</v>
      </c>
      <c r="C24" s="10" t="s">
        <v>126</v>
      </c>
      <c r="D24" s="16" t="s">
        <v>127</v>
      </c>
      <c r="E24" s="17" t="n">
        <f aca="false">INDEX(Results!$B$6:$B$13,MATCH(B24,Results!$A$6:$A$13,0))</f>
        <v>0.1</v>
      </c>
      <c r="F24" s="6" t="n">
        <v>3</v>
      </c>
      <c r="G24" s="6" t="n">
        <v>2</v>
      </c>
      <c r="H24" s="6" t="n">
        <v>2</v>
      </c>
      <c r="I24" s="18"/>
    </row>
    <row r="25" customFormat="false" ht="30" hidden="false" customHeight="true" outlineLevel="0" collapsed="false">
      <c r="A25" s="9" t="s">
        <v>128</v>
      </c>
      <c r="B25" s="11" t="s">
        <v>125</v>
      </c>
      <c r="C25" s="10" t="s">
        <v>129</v>
      </c>
      <c r="D25" s="16" t="s">
        <v>74</v>
      </c>
      <c r="E25" s="17" t="n">
        <f aca="false">INDEX(Results!$B$6:$B$13,MATCH(B25,Results!$A$6:$A$13,0))</f>
        <v>0.1</v>
      </c>
      <c r="F25" s="6" t="n">
        <v>2</v>
      </c>
      <c r="G25" s="6" t="n">
        <v>1</v>
      </c>
      <c r="H25" s="6" t="n">
        <v>2</v>
      </c>
      <c r="I25" s="18"/>
    </row>
    <row r="26" customFormat="false" ht="30" hidden="false" customHeight="true" outlineLevel="0" collapsed="false">
      <c r="A26" s="9" t="s">
        <v>130</v>
      </c>
      <c r="B26" s="11" t="s">
        <v>125</v>
      </c>
      <c r="C26" s="10" t="s">
        <v>131</v>
      </c>
      <c r="D26" s="16" t="s">
        <v>132</v>
      </c>
      <c r="E26" s="17" t="n">
        <f aca="false">INDEX(Results!$B$6:$B$13,MATCH(B26,Results!$A$6:$A$13,0))</f>
        <v>0.1</v>
      </c>
      <c r="F26" s="6" t="s">
        <v>133</v>
      </c>
      <c r="G26" s="6" t="s">
        <v>133</v>
      </c>
      <c r="H26" s="6" t="s">
        <v>133</v>
      </c>
      <c r="I26" s="18" t="s">
        <v>134</v>
      </c>
    </row>
    <row r="27" customFormat="false" ht="30" hidden="false" customHeight="true" outlineLevel="0" collapsed="false">
      <c r="A27" s="9" t="s">
        <v>135</v>
      </c>
      <c r="B27" s="11" t="s">
        <v>136</v>
      </c>
      <c r="C27" s="10" t="s">
        <v>137</v>
      </c>
      <c r="D27" s="16" t="s">
        <v>138</v>
      </c>
      <c r="E27" s="17" t="n">
        <f aca="false">INDEX(Results!$B$6:$B$13,MATCH(B27,Results!$A$6:$A$13,0))</f>
        <v>0.1</v>
      </c>
      <c r="F27" s="6" t="n">
        <v>3</v>
      </c>
      <c r="G27" s="6" t="n">
        <v>2</v>
      </c>
      <c r="H27" s="6" t="n">
        <v>2</v>
      </c>
      <c r="I27" s="18"/>
    </row>
    <row r="28" customFormat="false" ht="30" hidden="false" customHeight="true" outlineLevel="0" collapsed="false">
      <c r="A28" s="9" t="s">
        <v>139</v>
      </c>
      <c r="B28" s="11" t="s">
        <v>136</v>
      </c>
      <c r="C28" s="10" t="s">
        <v>140</v>
      </c>
      <c r="D28" s="16" t="s">
        <v>141</v>
      </c>
      <c r="E28" s="17" t="n">
        <f aca="false">INDEX(Results!$B$6:$B$13,MATCH(B28,Results!$A$6:$A$13,0))</f>
        <v>0.1</v>
      </c>
      <c r="F28" s="6" t="n">
        <v>2</v>
      </c>
      <c r="G28" s="6" t="n">
        <v>2</v>
      </c>
      <c r="H28" s="6" t="n">
        <v>2</v>
      </c>
      <c r="I28" s="18"/>
    </row>
    <row r="29" customFormat="false" ht="30" hidden="false" customHeight="true" outlineLevel="0" collapsed="false">
      <c r="A29" s="9" t="s">
        <v>142</v>
      </c>
      <c r="B29" s="11" t="s">
        <v>136</v>
      </c>
      <c r="C29" s="10" t="s">
        <v>143</v>
      </c>
      <c r="D29" s="16" t="s">
        <v>144</v>
      </c>
      <c r="E29" s="17" t="n">
        <f aca="false">INDEX(Results!$B$6:$B$13,MATCH(B29,Results!$A$6:$A$13,0))</f>
        <v>0.1</v>
      </c>
      <c r="F29" s="6" t="n">
        <v>2</v>
      </c>
      <c r="G29" s="6" t="n">
        <v>1</v>
      </c>
      <c r="H29" s="6" t="n">
        <v>2</v>
      </c>
      <c r="I29" s="18"/>
    </row>
    <row r="30" customFormat="false" ht="30" hidden="false" customHeight="true" outlineLevel="0" collapsed="false">
      <c r="A30" s="9" t="s">
        <v>145</v>
      </c>
      <c r="B30" s="11" t="s">
        <v>146</v>
      </c>
      <c r="C30" s="10" t="s">
        <v>147</v>
      </c>
      <c r="D30" s="16" t="s">
        <v>148</v>
      </c>
      <c r="E30" s="17" t="n">
        <f aca="false">INDEX(Results!$B$6:$B$13,MATCH(B30,Results!$A$6:$A$13,0))</f>
        <v>0.1</v>
      </c>
      <c r="F30" s="6" t="n">
        <v>2</v>
      </c>
      <c r="G30" s="6" t="n">
        <v>2</v>
      </c>
      <c r="H30" s="6" t="n">
        <v>2</v>
      </c>
      <c r="I30" s="18"/>
    </row>
    <row r="31" customFormat="false" ht="30" hidden="false" customHeight="true" outlineLevel="0" collapsed="false">
      <c r="A31" s="9" t="s">
        <v>149</v>
      </c>
      <c r="B31" s="11" t="s">
        <v>146</v>
      </c>
      <c r="C31" s="10" t="s">
        <v>150</v>
      </c>
      <c r="D31" s="16" t="s">
        <v>151</v>
      </c>
      <c r="E31" s="17" t="n">
        <f aca="false">INDEX(Results!$B$6:$B$13,MATCH(B31,Results!$A$6:$A$13,0))</f>
        <v>0.1</v>
      </c>
      <c r="F31" s="6" t="n">
        <v>2</v>
      </c>
      <c r="G31" s="6" t="n">
        <v>1</v>
      </c>
      <c r="H31" s="6" t="n">
        <v>2</v>
      </c>
      <c r="I31" s="18"/>
    </row>
    <row r="32" customFormat="false" ht="30" hidden="false" customHeight="true" outlineLevel="0" collapsed="false">
      <c r="A32" s="9" t="s">
        <v>152</v>
      </c>
      <c r="B32" s="11" t="s">
        <v>146</v>
      </c>
      <c r="C32" s="10" t="s">
        <v>153</v>
      </c>
      <c r="D32" s="16" t="s">
        <v>151</v>
      </c>
      <c r="E32" s="17" t="n">
        <f aca="false">INDEX(Results!$B$6:$B$13,MATCH(B32,Results!$A$6:$A$13,0))</f>
        <v>0.1</v>
      </c>
      <c r="F32" s="6" t="n">
        <v>2</v>
      </c>
      <c r="G32" s="6" t="n">
        <v>1</v>
      </c>
      <c r="H32" s="6" t="n">
        <v>1</v>
      </c>
      <c r="I32" s="18"/>
    </row>
    <row r="33" customFormat="false" ht="30" hidden="false" customHeight="true" outlineLevel="0" collapsed="false">
      <c r="A33" s="9" t="s">
        <v>154</v>
      </c>
      <c r="B33" s="11" t="s">
        <v>146</v>
      </c>
      <c r="C33" s="10" t="s">
        <v>155</v>
      </c>
      <c r="D33" s="16" t="s">
        <v>156</v>
      </c>
      <c r="E33" s="17" t="n">
        <f aca="false">INDEX(Results!$B$6:$B$13,MATCH(B33,Results!$A$6:$A$13,0))</f>
        <v>0.1</v>
      </c>
      <c r="F33" s="6" t="n">
        <v>2</v>
      </c>
      <c r="G33" s="6" t="n">
        <v>2</v>
      </c>
      <c r="H33" s="6" t="n">
        <v>2</v>
      </c>
      <c r="I33" s="18"/>
    </row>
    <row r="34" customFormat="false" ht="30" hidden="false" customHeight="true" outlineLevel="0" collapsed="false">
      <c r="A34" s="9" t="s">
        <v>157</v>
      </c>
      <c r="B34" s="11" t="s">
        <v>158</v>
      </c>
      <c r="C34" s="10" t="s">
        <v>159</v>
      </c>
      <c r="D34" s="16" t="s">
        <v>160</v>
      </c>
      <c r="E34" s="17" t="n">
        <f aca="false">INDEX(Results!$B$6:$B$13,MATCH(B34,Results!$A$6:$A$13,0))</f>
        <v>0.05</v>
      </c>
      <c r="F34" s="6" t="n">
        <v>3</v>
      </c>
      <c r="G34" s="6" t="n">
        <v>2</v>
      </c>
      <c r="H34" s="6" t="n">
        <v>3</v>
      </c>
      <c r="I34" s="18"/>
    </row>
    <row r="35" customFormat="false" ht="30" hidden="false" customHeight="true" outlineLevel="0" collapsed="false">
      <c r="A35" s="9" t="s">
        <v>161</v>
      </c>
      <c r="B35" s="11" t="s">
        <v>158</v>
      </c>
      <c r="C35" s="10" t="s">
        <v>162</v>
      </c>
      <c r="D35" s="16" t="s">
        <v>163</v>
      </c>
      <c r="E35" s="17" t="n">
        <f aca="false">INDEX(Results!$B$6:$B$13,MATCH(B35,Results!$A$6:$A$13,0))</f>
        <v>0.05</v>
      </c>
      <c r="F35" s="6" t="n">
        <v>2</v>
      </c>
      <c r="G35" s="6" t="n">
        <v>2</v>
      </c>
      <c r="H35" s="6" t="n">
        <v>2</v>
      </c>
      <c r="I35" s="18"/>
    </row>
    <row r="37" customFormat="false" ht="15" hidden="false" customHeight="false" outlineLevel="0" collapsed="false">
      <c r="A37" s="19" t="s">
        <v>164</v>
      </c>
    </row>
    <row r="38" customFormat="false" ht="15" hidden="false" customHeight="false" outlineLevel="0" collapsed="false">
      <c r="A38" s="8" t="s">
        <v>30</v>
      </c>
      <c r="B38" s="8" t="s">
        <v>165</v>
      </c>
      <c r="C38" s="8" t="s">
        <v>166</v>
      </c>
      <c r="D38" s="8"/>
      <c r="E38" s="8"/>
      <c r="F38" s="8" t="str">
        <f aca="false">F3</f>
        <v>Vendor A (fictional)</v>
      </c>
      <c r="G38" s="8" t="str">
        <f aca="false">G3</f>
        <v>Vendor B (fictional)</v>
      </c>
      <c r="H38" s="8" t="str">
        <f aca="false">H3</f>
        <v>Vendor C (fictional)</v>
      </c>
      <c r="I38" s="8" t="s">
        <v>167</v>
      </c>
    </row>
    <row r="39" customFormat="false" ht="30" hidden="false" customHeight="true" outlineLevel="0" collapsed="false">
      <c r="A39" s="9" t="s">
        <v>168</v>
      </c>
      <c r="B39" s="11" t="s">
        <v>169</v>
      </c>
      <c r="C39" s="10" t="s">
        <v>170</v>
      </c>
      <c r="D39" s="10"/>
      <c r="E39" s="10"/>
      <c r="F39" s="6" t="s">
        <v>171</v>
      </c>
      <c r="G39" s="6" t="s">
        <v>171</v>
      </c>
      <c r="H39" s="6" t="s">
        <v>171</v>
      </c>
      <c r="I39" s="20"/>
    </row>
    <row r="40" customFormat="false" ht="30" hidden="false" customHeight="true" outlineLevel="0" collapsed="false">
      <c r="A40" s="9" t="s">
        <v>172</v>
      </c>
      <c r="B40" s="11" t="s">
        <v>173</v>
      </c>
      <c r="C40" s="10" t="s">
        <v>174</v>
      </c>
      <c r="D40" s="10"/>
      <c r="E40" s="10"/>
      <c r="F40" s="6" t="s">
        <v>171</v>
      </c>
      <c r="G40" s="6" t="s">
        <v>171</v>
      </c>
      <c r="H40" s="6" t="s">
        <v>175</v>
      </c>
      <c r="I40" s="20" t="s">
        <v>176</v>
      </c>
    </row>
    <row r="41" customFormat="false" ht="30" hidden="false" customHeight="true" outlineLevel="0" collapsed="false">
      <c r="A41" s="9" t="s">
        <v>177</v>
      </c>
      <c r="B41" s="11" t="s">
        <v>173</v>
      </c>
      <c r="C41" s="10" t="s">
        <v>178</v>
      </c>
      <c r="D41" s="10"/>
      <c r="E41" s="10"/>
      <c r="F41" s="6" t="s">
        <v>171</v>
      </c>
      <c r="G41" s="6" t="s">
        <v>171</v>
      </c>
      <c r="H41" s="6" t="s">
        <v>171</v>
      </c>
      <c r="I41" s="20"/>
    </row>
    <row r="42" customFormat="false" ht="30" hidden="false" customHeight="true" outlineLevel="0" collapsed="false">
      <c r="A42" s="9" t="s">
        <v>179</v>
      </c>
      <c r="B42" s="11" t="s">
        <v>169</v>
      </c>
      <c r="C42" s="10" t="s">
        <v>180</v>
      </c>
      <c r="D42" s="10"/>
      <c r="E42" s="10"/>
      <c r="F42" s="6" t="s">
        <v>171</v>
      </c>
      <c r="G42" s="6" t="s">
        <v>171</v>
      </c>
      <c r="H42" s="6" t="s">
        <v>171</v>
      </c>
      <c r="I42" s="20"/>
    </row>
    <row r="43" customFormat="false" ht="30" hidden="false" customHeight="true" outlineLevel="0" collapsed="false">
      <c r="A43" s="9" t="s">
        <v>181</v>
      </c>
      <c r="B43" s="11" t="s">
        <v>182</v>
      </c>
      <c r="C43" s="10" t="s">
        <v>183</v>
      </c>
      <c r="D43" s="10"/>
      <c r="E43" s="10"/>
      <c r="F43" s="6" t="s">
        <v>133</v>
      </c>
      <c r="G43" s="6" t="s">
        <v>133</v>
      </c>
      <c r="H43" s="6" t="s">
        <v>133</v>
      </c>
      <c r="I43" s="20" t="s">
        <v>184</v>
      </c>
    </row>
  </sheetData>
  <mergeCells count="5">
    <mergeCell ref="C39:E39"/>
    <mergeCell ref="C40:E40"/>
    <mergeCell ref="C41:E41"/>
    <mergeCell ref="C42:E42"/>
    <mergeCell ref="C43:E43"/>
  </mergeCells>
  <conditionalFormatting sqref="F6:H35">
    <cfRule type="cellIs" priority="2" operator="equal" aboveAverage="0" equalAverage="0" bottom="0" percent="0" rank="0" text="" dxfId="0">
      <formula>0</formula>
    </cfRule>
  </conditionalFormatting>
  <conditionalFormatting sqref="F39:H43">
    <cfRule type="cellIs" priority="3" operator="equal" aboveAverage="0" equalAverage="0" bottom="0" percent="0" rank="0" text="" dxfId="0">
      <formula>"Fail"</formula>
    </cfRule>
  </conditionalFormatting>
  <dataValidations count="2">
    <dataValidation allowBlank="true" errorStyle="stop" operator="between" showDropDown="false" showErrorMessage="false" showInputMessage="false" sqref="F6:H35" type="list">
      <formula1>"0,1,2,3,N/A"</formula1>
      <formula2>0</formula2>
    </dataValidation>
    <dataValidation allowBlank="true" errorStyle="stop" operator="between" showDropDown="false" showErrorMessage="false" showInputMessage="false" sqref="F39:H43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5" min="3" style="0" width="24"/>
    <col collapsed="false" customWidth="true" hidden="false" outlineLevel="0" max="14" min="8" style="0" width="12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39.75" hidden="false" customHeight="true" outlineLevel="0" collapsed="false">
      <c r="A4" s="5" t="s">
        <v>187</v>
      </c>
      <c r="B4" s="21" t="str">
        <f aca="false">Tiering!B4</f>
        <v>FICTIONAL EXAMPLE: generative AI assistant that drafts replies to customer service tickets using customer names and order history. Human agents review every reply before it is sent.</v>
      </c>
      <c r="C4" s="21"/>
      <c r="D4" s="21"/>
      <c r="E4" s="21"/>
    </row>
    <row r="5" customFormat="false" ht="15" hidden="false" customHeight="false" outlineLevel="0" collapsed="false">
      <c r="A5" s="8" t="s">
        <v>61</v>
      </c>
      <c r="B5" s="8" t="s">
        <v>63</v>
      </c>
      <c r="C5" s="8" t="str">
        <f aca="false">Assessment!F3</f>
        <v>Vendor A (fictional)</v>
      </c>
      <c r="D5" s="8" t="str">
        <f aca="false">Assessment!G3</f>
        <v>Vendor B (fictional)</v>
      </c>
      <c r="E5" s="8" t="str">
        <f aca="false">Assessment!H3</f>
        <v>Vendor C (fictional)</v>
      </c>
      <c r="H5" s="22" t="s">
        <v>188</v>
      </c>
      <c r="I5" s="23" t="str">
        <f aca="false">C5&amp;" contrib."</f>
        <v>Vendor A (fictional) contrib.</v>
      </c>
      <c r="J5" s="23" t="str">
        <f aca="false">C5&amp;" weight used"</f>
        <v>Vendor A (fictional) weight used</v>
      </c>
      <c r="K5" s="23" t="str">
        <f aca="false">D5&amp;" contrib."</f>
        <v>Vendor B (fictional) contrib.</v>
      </c>
      <c r="L5" s="23" t="str">
        <f aca="false">D5&amp;" weight used"</f>
        <v>Vendor B (fictional) weight used</v>
      </c>
      <c r="M5" s="23" t="str">
        <f aca="false">E5&amp;" contrib."</f>
        <v>Vendor C (fictional) contrib.</v>
      </c>
      <c r="N5" s="23" t="str">
        <f aca="false">E5&amp;" weight used"</f>
        <v>Vendor C (fictional) weight used</v>
      </c>
    </row>
    <row r="6" customFormat="false" ht="15" hidden="false" customHeight="false" outlineLevel="0" collapsed="false">
      <c r="A6" s="11" t="s">
        <v>66</v>
      </c>
      <c r="B6" s="24" t="n">
        <v>0.2</v>
      </c>
      <c r="C6" s="25" t="n">
        <f aca="false">IF(COUNTIFS(Assessment!$B$6:$B$35,$A6,Assessment!F$6:F$35,"&gt;=0")=0,"N/A",SUMIFS(Assessment!F$6:F$35,Assessment!$B$6:$B$35,$A6)/(3*COUNTIFS(Assessment!$B$6:$B$35,$A6,Assessment!F$6:F$35,"&gt;=0")))</f>
        <v>0.933333333333333</v>
      </c>
      <c r="D6" s="25" t="n">
        <f aca="false">IF(COUNTIFS(Assessment!$B$6:$B$35,$A6,Assessment!G$6:G$35,"&gt;=0")=0,"N/A",SUMIFS(Assessment!G$6:G$35,Assessment!$B$6:$B$35,$A6)/(3*COUNTIFS(Assessment!$B$6:$B$35,$A6,Assessment!G$6:G$35,"&gt;=0")))</f>
        <v>0.6</v>
      </c>
      <c r="E6" s="25" t="n">
        <f aca="false">IF(COUNTIFS(Assessment!$B$6:$B$35,$A6,Assessment!H$6:H$35,"&gt;=0")=0,"N/A",SUMIFS(Assessment!H$6:H$35,Assessment!$B$6:$B$35,$A6)/(3*COUNTIFS(Assessment!$B$6:$B$35,$A6,Assessment!H$6:H$35,"&gt;=0")))</f>
        <v>0.8</v>
      </c>
      <c r="I6" s="26" t="n">
        <f aca="false">IF(ISNUMBER(C6),$B6*C6,0)</f>
        <v>0.186666666666667</v>
      </c>
      <c r="J6" s="26" t="n">
        <f aca="false">IF(ISNUMBER(C6),$B6,0)</f>
        <v>0.2</v>
      </c>
      <c r="K6" s="26" t="n">
        <f aca="false">IF(ISNUMBER(D6),$B6*D6,0)</f>
        <v>0.12</v>
      </c>
      <c r="L6" s="26" t="n">
        <f aca="false">IF(ISNUMBER(D6),$B6,0)</f>
        <v>0.2</v>
      </c>
      <c r="M6" s="26" t="n">
        <f aca="false">IF(ISNUMBER(E6),$B6*E6,0)</f>
        <v>0.16</v>
      </c>
      <c r="N6" s="26" t="n">
        <f aca="false">IF(ISNUMBER(E6),$B6,0)</f>
        <v>0.2</v>
      </c>
    </row>
    <row r="7" customFormat="false" ht="15" hidden="false" customHeight="false" outlineLevel="0" collapsed="false">
      <c r="A7" s="11" t="s">
        <v>82</v>
      </c>
      <c r="B7" s="24" t="n">
        <v>0.2</v>
      </c>
      <c r="C7" s="25" t="n">
        <f aca="false">IF(COUNTIFS(Assessment!$B$6:$B$35,$A7,Assessment!F$6:F$35,"&gt;=0")=0,"N/A",SUMIFS(Assessment!F$6:F$35,Assessment!$B$6:$B$35,$A7)/(3*COUNTIFS(Assessment!$B$6:$B$35,$A7,Assessment!F$6:F$35,"&gt;=0")))</f>
        <v>0.8</v>
      </c>
      <c r="D7" s="25" t="n">
        <f aca="false">IF(COUNTIFS(Assessment!$B$6:$B$35,$A7,Assessment!G$6:G$35,"&gt;=0")=0,"N/A",SUMIFS(Assessment!G$6:G$35,Assessment!$B$6:$B$35,$A7)/(3*COUNTIFS(Assessment!$B$6:$B$35,$A7,Assessment!G$6:G$35,"&gt;=0")))</f>
        <v>0.6</v>
      </c>
      <c r="E7" s="25" t="n">
        <f aca="false">IF(COUNTIFS(Assessment!$B$6:$B$35,$A7,Assessment!H$6:H$35,"&gt;=0")=0,"N/A",SUMIFS(Assessment!H$6:H$35,Assessment!$B$6:$B$35,$A7)/(3*COUNTIFS(Assessment!$B$6:$B$35,$A7,Assessment!H$6:H$35,"&gt;=0")))</f>
        <v>0.533333333333333</v>
      </c>
      <c r="I7" s="26" t="n">
        <f aca="false">IF(ISNUMBER(C7),$B7*C7,0)</f>
        <v>0.16</v>
      </c>
      <c r="J7" s="26" t="n">
        <f aca="false">IF(ISNUMBER(C7),$B7,0)</f>
        <v>0.2</v>
      </c>
      <c r="K7" s="26" t="n">
        <f aca="false">IF(ISNUMBER(D7),$B7*D7,0)</f>
        <v>0.12</v>
      </c>
      <c r="L7" s="26" t="n">
        <f aca="false">IF(ISNUMBER(D7),$B7,0)</f>
        <v>0.2</v>
      </c>
      <c r="M7" s="26" t="n">
        <f aca="false">IF(ISNUMBER(E7),$B7*E7,0)</f>
        <v>0.106666666666667</v>
      </c>
      <c r="N7" s="26" t="n">
        <f aca="false">IF(ISNUMBER(E7),$B7,0)</f>
        <v>0.2</v>
      </c>
    </row>
    <row r="8" customFormat="false" ht="15" hidden="false" customHeight="false" outlineLevel="0" collapsed="false">
      <c r="A8" s="11" t="s">
        <v>99</v>
      </c>
      <c r="B8" s="24" t="n">
        <v>0.15</v>
      </c>
      <c r="C8" s="25" t="n">
        <f aca="false">IF(COUNTIFS(Assessment!$B$6:$B$35,$A8,Assessment!F$6:F$35,"&gt;=0")=0,"N/A",SUMIFS(Assessment!F$6:F$35,Assessment!$B$6:$B$35,$A8)/(3*COUNTIFS(Assessment!$B$6:$B$35,$A8,Assessment!F$6:F$35,"&gt;=0")))</f>
        <v>0.75</v>
      </c>
      <c r="D8" s="25" t="n">
        <f aca="false">IF(COUNTIFS(Assessment!$B$6:$B$35,$A8,Assessment!G$6:G$35,"&gt;=0")=0,"N/A",SUMIFS(Assessment!G$6:G$35,Assessment!$B$6:$B$35,$A8)/(3*COUNTIFS(Assessment!$B$6:$B$35,$A8,Assessment!G$6:G$35,"&gt;=0")))</f>
        <v>0.5</v>
      </c>
      <c r="E8" s="25" t="n">
        <f aca="false">IF(COUNTIFS(Assessment!$B$6:$B$35,$A8,Assessment!H$6:H$35,"&gt;=0")=0,"N/A",SUMIFS(Assessment!H$6:H$35,Assessment!$B$6:$B$35,$A8)/(3*COUNTIFS(Assessment!$B$6:$B$35,$A8,Assessment!H$6:H$35,"&gt;=0")))</f>
        <v>0.416666666666667</v>
      </c>
      <c r="I8" s="26" t="n">
        <f aca="false">IF(ISNUMBER(C8),$B8*C8,0)</f>
        <v>0.1125</v>
      </c>
      <c r="J8" s="26" t="n">
        <f aca="false">IF(ISNUMBER(C8),$B8,0)</f>
        <v>0.15</v>
      </c>
      <c r="K8" s="26" t="n">
        <f aca="false">IF(ISNUMBER(D8),$B8*D8,0)</f>
        <v>0.075</v>
      </c>
      <c r="L8" s="26" t="n">
        <f aca="false">IF(ISNUMBER(D8),$B8,0)</f>
        <v>0.15</v>
      </c>
      <c r="M8" s="26" t="n">
        <f aca="false">IF(ISNUMBER(E8),$B8*E8,0)</f>
        <v>0.0625</v>
      </c>
      <c r="N8" s="26" t="n">
        <f aca="false">IF(ISNUMBER(E8),$B8,0)</f>
        <v>0.15</v>
      </c>
    </row>
    <row r="9" customFormat="false" ht="15" hidden="false" customHeight="false" outlineLevel="0" collapsed="false">
      <c r="A9" s="11" t="s">
        <v>113</v>
      </c>
      <c r="B9" s="24" t="n">
        <v>0.1</v>
      </c>
      <c r="C9" s="25" t="n">
        <f aca="false">IF(COUNTIFS(Assessment!$B$6:$B$35,$A9,Assessment!F$6:F$35,"&gt;=0")=0,"N/A",SUMIFS(Assessment!F$6:F$35,Assessment!$B$6:$B$35,$A9)/(3*COUNTIFS(Assessment!$B$6:$B$35,$A9,Assessment!F$6:F$35,"&gt;=0")))</f>
        <v>0.666666666666667</v>
      </c>
      <c r="D9" s="25" t="n">
        <f aca="false">IF(COUNTIFS(Assessment!$B$6:$B$35,$A9,Assessment!G$6:G$35,"&gt;=0")=0,"N/A",SUMIFS(Assessment!G$6:G$35,Assessment!$B$6:$B$35,$A9)/(3*COUNTIFS(Assessment!$B$6:$B$35,$A9,Assessment!G$6:G$35,"&gt;=0")))</f>
        <v>0.5</v>
      </c>
      <c r="E9" s="25" t="n">
        <f aca="false">IF(COUNTIFS(Assessment!$B$6:$B$35,$A9,Assessment!H$6:H$35,"&gt;=0")=0,"N/A",SUMIFS(Assessment!H$6:H$35,Assessment!$B$6:$B$35,$A9)/(3*COUNTIFS(Assessment!$B$6:$B$35,$A9,Assessment!H$6:H$35,"&gt;=0")))</f>
        <v>0.583333333333333</v>
      </c>
      <c r="I9" s="26" t="n">
        <f aca="false">IF(ISNUMBER(C9),$B9*C9,0)</f>
        <v>0.0666666666666667</v>
      </c>
      <c r="J9" s="26" t="n">
        <f aca="false">IF(ISNUMBER(C9),$B9,0)</f>
        <v>0.1</v>
      </c>
      <c r="K9" s="26" t="n">
        <f aca="false">IF(ISNUMBER(D9),$B9*D9,0)</f>
        <v>0.05</v>
      </c>
      <c r="L9" s="26" t="n">
        <f aca="false">IF(ISNUMBER(D9),$B9,0)</f>
        <v>0.1</v>
      </c>
      <c r="M9" s="26" t="n">
        <f aca="false">IF(ISNUMBER(E9),$B9*E9,0)</f>
        <v>0.0583333333333333</v>
      </c>
      <c r="N9" s="26" t="n">
        <f aca="false">IF(ISNUMBER(E9),$B9,0)</f>
        <v>0.1</v>
      </c>
    </row>
    <row r="10" customFormat="false" ht="15" hidden="false" customHeight="false" outlineLevel="0" collapsed="false">
      <c r="A10" s="11" t="s">
        <v>125</v>
      </c>
      <c r="B10" s="24" t="n">
        <v>0.1</v>
      </c>
      <c r="C10" s="25" t="n">
        <f aca="false">IF(COUNTIFS(Assessment!$B$6:$B$35,$A10,Assessment!F$6:F$35,"&gt;=0")=0,"N/A",SUMIFS(Assessment!F$6:F$35,Assessment!$B$6:$B$35,$A10)/(3*COUNTIFS(Assessment!$B$6:$B$35,$A10,Assessment!F$6:F$35,"&gt;=0")))</f>
        <v>0.833333333333333</v>
      </c>
      <c r="D10" s="25" t="n">
        <f aca="false">IF(COUNTIFS(Assessment!$B$6:$B$35,$A10,Assessment!G$6:G$35,"&gt;=0")=0,"N/A",SUMIFS(Assessment!G$6:G$35,Assessment!$B$6:$B$35,$A10)/(3*COUNTIFS(Assessment!$B$6:$B$35,$A10,Assessment!G$6:G$35,"&gt;=0")))</f>
        <v>0.5</v>
      </c>
      <c r="E10" s="25" t="n">
        <f aca="false">IF(COUNTIFS(Assessment!$B$6:$B$35,$A10,Assessment!H$6:H$35,"&gt;=0")=0,"N/A",SUMIFS(Assessment!H$6:H$35,Assessment!$B$6:$B$35,$A10)/(3*COUNTIFS(Assessment!$B$6:$B$35,$A10,Assessment!H$6:H$35,"&gt;=0")))</f>
        <v>0.666666666666667</v>
      </c>
      <c r="I10" s="26" t="n">
        <f aca="false">IF(ISNUMBER(C10),$B10*C10,0)</f>
        <v>0.0833333333333333</v>
      </c>
      <c r="J10" s="26" t="n">
        <f aca="false">IF(ISNUMBER(C10),$B10,0)</f>
        <v>0.1</v>
      </c>
      <c r="K10" s="26" t="n">
        <f aca="false">IF(ISNUMBER(D10),$B10*D10,0)</f>
        <v>0.05</v>
      </c>
      <c r="L10" s="26" t="n">
        <f aca="false">IF(ISNUMBER(D10),$B10,0)</f>
        <v>0.1</v>
      </c>
      <c r="M10" s="26" t="n">
        <f aca="false">IF(ISNUMBER(E10),$B10*E10,0)</f>
        <v>0.0666666666666667</v>
      </c>
      <c r="N10" s="26" t="n">
        <f aca="false">IF(ISNUMBER(E10),$B10,0)</f>
        <v>0.1</v>
      </c>
    </row>
    <row r="11" customFormat="false" ht="15" hidden="false" customHeight="false" outlineLevel="0" collapsed="false">
      <c r="A11" s="11" t="s">
        <v>136</v>
      </c>
      <c r="B11" s="24" t="n">
        <v>0.1</v>
      </c>
      <c r="C11" s="25" t="n">
        <f aca="false">IF(COUNTIFS(Assessment!$B$6:$B$35,$A11,Assessment!F$6:F$35,"&gt;=0")=0,"N/A",SUMIFS(Assessment!F$6:F$35,Assessment!$B$6:$B$35,$A11)/(3*COUNTIFS(Assessment!$B$6:$B$35,$A11,Assessment!F$6:F$35,"&gt;=0")))</f>
        <v>0.777777777777778</v>
      </c>
      <c r="D11" s="25" t="n">
        <f aca="false">IF(COUNTIFS(Assessment!$B$6:$B$35,$A11,Assessment!G$6:G$35,"&gt;=0")=0,"N/A",SUMIFS(Assessment!G$6:G$35,Assessment!$B$6:$B$35,$A11)/(3*COUNTIFS(Assessment!$B$6:$B$35,$A11,Assessment!G$6:G$35,"&gt;=0")))</f>
        <v>0.555555555555556</v>
      </c>
      <c r="E11" s="25" t="n">
        <f aca="false">IF(COUNTIFS(Assessment!$B$6:$B$35,$A11,Assessment!H$6:H$35,"&gt;=0")=0,"N/A",SUMIFS(Assessment!H$6:H$35,Assessment!$B$6:$B$35,$A11)/(3*COUNTIFS(Assessment!$B$6:$B$35,$A11,Assessment!H$6:H$35,"&gt;=0")))</f>
        <v>0.666666666666667</v>
      </c>
      <c r="I11" s="26" t="n">
        <f aca="false">IF(ISNUMBER(C11),$B11*C11,0)</f>
        <v>0.0777777777777778</v>
      </c>
      <c r="J11" s="26" t="n">
        <f aca="false">IF(ISNUMBER(C11),$B11,0)</f>
        <v>0.1</v>
      </c>
      <c r="K11" s="26" t="n">
        <f aca="false">IF(ISNUMBER(D11),$B11*D11,0)</f>
        <v>0.0555555555555556</v>
      </c>
      <c r="L11" s="26" t="n">
        <f aca="false">IF(ISNUMBER(D11),$B11,0)</f>
        <v>0.1</v>
      </c>
      <c r="M11" s="26" t="n">
        <f aca="false">IF(ISNUMBER(E11),$B11*E11,0)</f>
        <v>0.0666666666666667</v>
      </c>
      <c r="N11" s="26" t="n">
        <f aca="false">IF(ISNUMBER(E11),$B11,0)</f>
        <v>0.1</v>
      </c>
    </row>
    <row r="12" customFormat="false" ht="15" hidden="false" customHeight="false" outlineLevel="0" collapsed="false">
      <c r="A12" s="11" t="s">
        <v>146</v>
      </c>
      <c r="B12" s="24" t="n">
        <v>0.1</v>
      </c>
      <c r="C12" s="25" t="n">
        <f aca="false">IF(COUNTIFS(Assessment!$B$6:$B$35,$A12,Assessment!F$6:F$35,"&gt;=0")=0,"N/A",SUMIFS(Assessment!F$6:F$35,Assessment!$B$6:$B$35,$A12)/(3*COUNTIFS(Assessment!$B$6:$B$35,$A12,Assessment!F$6:F$35,"&gt;=0")))</f>
        <v>0.666666666666667</v>
      </c>
      <c r="D12" s="25" t="n">
        <f aca="false">IF(COUNTIFS(Assessment!$B$6:$B$35,$A12,Assessment!G$6:G$35,"&gt;=0")=0,"N/A",SUMIFS(Assessment!G$6:G$35,Assessment!$B$6:$B$35,$A12)/(3*COUNTIFS(Assessment!$B$6:$B$35,$A12,Assessment!G$6:G$35,"&gt;=0")))</f>
        <v>0.5</v>
      </c>
      <c r="E12" s="25" t="n">
        <f aca="false">IF(COUNTIFS(Assessment!$B$6:$B$35,$A12,Assessment!H$6:H$35,"&gt;=0")=0,"N/A",SUMIFS(Assessment!H$6:H$35,Assessment!$B$6:$B$35,$A12)/(3*COUNTIFS(Assessment!$B$6:$B$35,$A12,Assessment!H$6:H$35,"&gt;=0")))</f>
        <v>0.583333333333333</v>
      </c>
      <c r="I12" s="26" t="n">
        <f aca="false">IF(ISNUMBER(C12),$B12*C12,0)</f>
        <v>0.0666666666666667</v>
      </c>
      <c r="J12" s="26" t="n">
        <f aca="false">IF(ISNUMBER(C12),$B12,0)</f>
        <v>0.1</v>
      </c>
      <c r="K12" s="26" t="n">
        <f aca="false">IF(ISNUMBER(D12),$B12*D12,0)</f>
        <v>0.05</v>
      </c>
      <c r="L12" s="26" t="n">
        <f aca="false">IF(ISNUMBER(D12),$B12,0)</f>
        <v>0.1</v>
      </c>
      <c r="M12" s="26" t="n">
        <f aca="false">IF(ISNUMBER(E12),$B12*E12,0)</f>
        <v>0.0583333333333333</v>
      </c>
      <c r="N12" s="26" t="n">
        <f aca="false">IF(ISNUMBER(E12),$B12,0)</f>
        <v>0.1</v>
      </c>
    </row>
    <row r="13" customFormat="false" ht="15" hidden="false" customHeight="false" outlineLevel="0" collapsed="false">
      <c r="A13" s="11" t="s">
        <v>158</v>
      </c>
      <c r="B13" s="24" t="n">
        <v>0.05</v>
      </c>
      <c r="C13" s="25" t="n">
        <f aca="false">IF(COUNTIFS(Assessment!$B$6:$B$35,$A13,Assessment!F$6:F$35,"&gt;=0")=0,"N/A",SUMIFS(Assessment!F$6:F$35,Assessment!$B$6:$B$35,$A13)/(3*COUNTIFS(Assessment!$B$6:$B$35,$A13,Assessment!F$6:F$35,"&gt;=0")))</f>
        <v>0.833333333333333</v>
      </c>
      <c r="D13" s="25" t="n">
        <f aca="false">IF(COUNTIFS(Assessment!$B$6:$B$35,$A13,Assessment!G$6:G$35,"&gt;=0")=0,"N/A",SUMIFS(Assessment!G$6:G$35,Assessment!$B$6:$B$35,$A13)/(3*COUNTIFS(Assessment!$B$6:$B$35,$A13,Assessment!G$6:G$35,"&gt;=0")))</f>
        <v>0.666666666666667</v>
      </c>
      <c r="E13" s="25" t="n">
        <f aca="false">IF(COUNTIFS(Assessment!$B$6:$B$35,$A13,Assessment!H$6:H$35,"&gt;=0")=0,"N/A",SUMIFS(Assessment!H$6:H$35,Assessment!$B$6:$B$35,$A13)/(3*COUNTIFS(Assessment!$B$6:$B$35,$A13,Assessment!H$6:H$35,"&gt;=0")))</f>
        <v>0.833333333333333</v>
      </c>
      <c r="I13" s="26" t="n">
        <f aca="false">IF(ISNUMBER(C13),$B13*C13,0)</f>
        <v>0.0416666666666667</v>
      </c>
      <c r="J13" s="26" t="n">
        <f aca="false">IF(ISNUMBER(C13),$B13,0)</f>
        <v>0.05</v>
      </c>
      <c r="K13" s="26" t="n">
        <f aca="false">IF(ISNUMBER(D13),$B13*D13,0)</f>
        <v>0.0333333333333333</v>
      </c>
      <c r="L13" s="26" t="n">
        <f aca="false">IF(ISNUMBER(D13),$B13,0)</f>
        <v>0.05</v>
      </c>
      <c r="M13" s="26" t="n">
        <f aca="false">IF(ISNUMBER(E13),$B13*E13,0)</f>
        <v>0.0416666666666667</v>
      </c>
      <c r="N13" s="26" t="n">
        <f aca="false">IF(ISNUMBER(E13),$B13,0)</f>
        <v>0.05</v>
      </c>
    </row>
    <row r="14" customFormat="false" ht="15" hidden="false" customHeight="false" outlineLevel="0" collapsed="false">
      <c r="A14" s="5" t="s">
        <v>189</v>
      </c>
      <c r="B14" s="27" t="n">
        <f aca="false">SUM(B6:B13)</f>
        <v>1</v>
      </c>
    </row>
    <row r="16" customFormat="false" ht="15" hidden="false" customHeight="false" outlineLevel="0" collapsed="false">
      <c r="A16" s="5" t="s">
        <v>190</v>
      </c>
      <c r="C16" s="28" t="n">
        <f aca="false">COUNTBLANK(Assessment!F6:F35)</f>
        <v>0</v>
      </c>
      <c r="D16" s="28" t="n">
        <f aca="false">COUNTBLANK(Assessment!G6:G35)</f>
        <v>0</v>
      </c>
      <c r="E16" s="28" t="n">
        <f aca="false">COUNTBLANK(Assessment!H6:H35)</f>
        <v>0</v>
      </c>
    </row>
    <row r="17" customFormat="false" ht="15" hidden="false" customHeight="false" outlineLevel="0" collapsed="false">
      <c r="A17" s="5" t="s">
        <v>191</v>
      </c>
      <c r="C17" s="29" t="n">
        <f aca="false">IF(C16&gt;0,"Incomplete",IF(SUM(J6:J13)=0,"N/A",SUM(I6:I13)/SUM(J6:J13)))</f>
        <v>0.795277777777778</v>
      </c>
      <c r="D17" s="29" t="n">
        <f aca="false">IF(D16&gt;0,"Incomplete",IF(SUM(L6:L13)=0,"N/A",SUM(K6:K13)/SUM(L6:L13)))</f>
        <v>0.553888888888889</v>
      </c>
      <c r="E17" s="29" t="n">
        <f aca="false">IF(E16&gt;0,"Incomplete",IF(SUM(N6:N13)=0,"N/A",SUM(M6:M13)/SUM(N6:N13)))</f>
        <v>0.620833333333333</v>
      </c>
    </row>
    <row r="18" customFormat="false" ht="15" hidden="false" customHeight="false" outlineLevel="0" collapsed="false">
      <c r="A18" s="5" t="s">
        <v>14</v>
      </c>
      <c r="C18" s="30" t="str">
        <f aca="false">IF(ISNUMBER(C17),IF(C17&gt;=0.75,"Low",IF(C17&gt;=0.5,"Medium","High")),"—")</f>
        <v>Low</v>
      </c>
      <c r="D18" s="30" t="str">
        <f aca="false">IF(ISNUMBER(D17),IF(D17&gt;=0.75,"Low",IF(D17&gt;=0.5,"Medium","High")),"—")</f>
        <v>Medium</v>
      </c>
      <c r="E18" s="30" t="str">
        <f aca="false">IF(ISNUMBER(E17),IF(E17&gt;=0.75,"Low",IF(E17&gt;=0.5,"Medium","High")),"—")</f>
        <v>Medium</v>
      </c>
    </row>
    <row r="19" customFormat="false" ht="15" hidden="false" customHeight="false" outlineLevel="0" collapsed="false">
      <c r="A19" s="5" t="s">
        <v>192</v>
      </c>
      <c r="C19" s="28" t="n">
        <f aca="false">COUNTIF(Assessment!F39:F43,"Fail")</f>
        <v>0</v>
      </c>
      <c r="D19" s="28" t="n">
        <f aca="false">COUNTIF(Assessment!G39:G43,"Fail")</f>
        <v>0</v>
      </c>
      <c r="E19" s="28" t="n">
        <f aca="false">COUNTIF(Assessment!H39:H43,"Fail")</f>
        <v>1</v>
      </c>
    </row>
    <row r="20" customFormat="false" ht="15" hidden="false" customHeight="false" outlineLevel="0" collapsed="false">
      <c r="A20" s="5" t="s">
        <v>193</v>
      </c>
      <c r="C20" s="28" t="n">
        <f aca="false">COUNTBLANK(Assessment!F39:F43)</f>
        <v>0</v>
      </c>
      <c r="D20" s="28" t="n">
        <f aca="false">COUNTBLANK(Assessment!G39:G43)</f>
        <v>0</v>
      </c>
      <c r="E20" s="28" t="n">
        <f aca="false">COUNTBLANK(Assessment!H39:H43)</f>
        <v>0</v>
      </c>
    </row>
    <row r="21" customFormat="false" ht="15" hidden="false" customHeight="false" outlineLevel="0" collapsed="false">
      <c r="A21" s="5" t="s">
        <v>194</v>
      </c>
      <c r="C21" s="28" t="str">
        <f aca="false">Tiering!$E$17</f>
        <v>Medium</v>
      </c>
      <c r="D21" s="28" t="str">
        <f aca="false">Tiering!$E$17</f>
        <v>Medium</v>
      </c>
      <c r="E21" s="28" t="str">
        <f aca="false">Tiering!$E$17</f>
        <v>Medium</v>
      </c>
    </row>
    <row r="22" customFormat="false" ht="26.85" hidden="false" customHeight="false" outlineLevel="0" collapsed="false">
      <c r="A22" s="31" t="s">
        <v>195</v>
      </c>
      <c r="C22" s="32" t="str">
        <f aca="false">IF(OR(C16&gt;0,C20&gt;0,C21="Incomplete"),"Incomplete",IF(C19&gt;0,"Reject",IF(C18="High","Reject",IF(C18="Medium","Approve with conditions",IF(C21="High","Approve (committee)","Approve")))))</f>
        <v>Approve</v>
      </c>
      <c r="D22" s="32" t="str">
        <f aca="false">IF(OR(D16&gt;0,D20&gt;0,D21="Incomplete"),"Incomplete",IF(D19&gt;0,"Reject",IF(D18="High","Reject",IF(D18="Medium","Approve with conditions",IF(D21="High","Approve (committee)","Approve")))))</f>
        <v>Approve with conditions</v>
      </c>
      <c r="E22" s="32" t="str">
        <f aca="false">IF(OR(E16&gt;0,E20&gt;0,E21="Incomplete"),"Incomplete",IF(E19&gt;0,"Reject",IF(E18="High","Reject",IF(E18="Medium","Approve with conditions",IF(E21="High","Approve (committee)","Approve")))))</f>
        <v>Reject</v>
      </c>
    </row>
    <row r="23" customFormat="false" ht="15" hidden="false" customHeight="false" outlineLevel="0" collapsed="false">
      <c r="A23" s="5" t="s">
        <v>196</v>
      </c>
      <c r="C23" s="28" t="str">
        <f aca="false">IF(C22="Incomplete","—",IF(OR(C21="High",C22="Approve with conditions"),"AI Governance Committee",IF(C21="Medium","Security, Privacy and Legal","Security and Privacy")))</f>
        <v>Security, Privacy and Legal</v>
      </c>
      <c r="D23" s="28" t="str">
        <f aca="false">IF(D22="Incomplete","—",IF(OR(D21="High",D22="Approve with conditions"),"AI Governance Committee",IF(D21="Medium","Security, Privacy and Legal","Security and Privacy")))</f>
        <v>AI Governance Committee</v>
      </c>
      <c r="E23" s="28" t="str">
        <f aca="false">IF(E22="Incomplete","—",IF(OR(E21="High",E22="Approve with conditions"),"AI Governance Committee",IF(E21="Medium","Security, Privacy and Legal","Security and Privacy")))</f>
        <v>Security, Privacy and Legal</v>
      </c>
    </row>
    <row r="24" customFormat="false" ht="15" hidden="false" customHeight="false" outlineLevel="0" collapsed="false">
      <c r="A24" s="5" t="s">
        <v>197</v>
      </c>
      <c r="C24" s="28" t="n">
        <f aca="false">IF(OR(C22="Reject",C22="Incomplete"),"—",IF(C22="Approve with conditions",6,IF(C21="High",12,IF(C21="Medium",24,36))))</f>
        <v>24</v>
      </c>
      <c r="D24" s="28" t="n">
        <f aca="false">IF(OR(D22="Reject",D22="Incomplete"),"—",IF(D22="Approve with conditions",6,IF(D21="High",12,IF(D21="Medium",24,36))))</f>
        <v>6</v>
      </c>
      <c r="E24" s="28" t="str">
        <f aca="false">IF(OR(E22="Reject",E22="Incomplete"),"—",IF(E22="Approve with conditions",6,IF(E21="High",12,IF(E21="Medium",24,36))))</f>
        <v>—</v>
      </c>
    </row>
    <row r="26" customFormat="false" ht="15" hidden="false" customHeight="false" outlineLevel="0" collapsed="false">
      <c r="A26" s="33" t="s">
        <v>198</v>
      </c>
    </row>
  </sheetData>
  <mergeCells count="1">
    <mergeCell ref="B4:E4"/>
  </mergeCells>
  <conditionalFormatting sqref="C22:E22">
    <cfRule type="cellIs" priority="2" operator="equal" aboveAverage="0" equalAverage="0" bottom="0" percent="0" rank="0" text="" dxfId="1">
      <formula>"Approve with conditions"</formula>
    </cfRule>
    <cfRule type="cellIs" priority="3" operator="equal" aboveAverage="0" equalAverage="0" bottom="0" percent="0" rank="0" text="" dxfId="0">
      <formula>"Reject"</formula>
    </cfRule>
    <cfRule type="expression" priority="4" aboveAverage="0" equalAverage="0" bottom="0" percent="0" rank="0" text="" dxfId="2">
      <formula>AND(LEFT(C22,7)="Approve",C22&lt;&gt;"Approve with conditions")</formula>
    </cfRule>
  </conditionalFormatting>
  <conditionalFormatting sqref="C18:E18">
    <cfRule type="cellIs" priority="5" operator="equal" aboveAverage="0" equalAverage="0" bottom="0" percent="0" rank="0" text="" dxfId="2">
      <formula>"Low"</formula>
    </cfRule>
    <cfRule type="cellIs" priority="6" operator="equal" aboveAverage="0" equalAverage="0" bottom="0" percent="0" rank="0" text="" dxfId="1">
      <formula>"Medium"</formula>
    </cfRule>
    <cfRule type="cellIs" priority="7" operator="equal" aboveAverage="0" equalAverage="0" bottom="0" percent="0" rank="0" text="" dxfId="0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2026-09-29T04:51:31Z</dcterms:created>
  <dc:creator>openpyxl</dc:creator>
  <dc:description/>
  <dc:language>en-US</dc:language>
  <cp:lastModifiedBy/>
  <dcterms:modified xsi:type="dcterms:W3CDTF">2026-09-29T04:51:31Z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